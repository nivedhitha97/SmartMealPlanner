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</sheets>
  <definedNames>
    <definedName name="_xlnm._FilterDatabase" localSheetId="1" hidden="1">'Tasks'!$A$1:$H$54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6"/>
    </font>
    <font>
      <name val="Arial"/>
      <i val="1"/>
      <color rgb="00666666"/>
    </font>
    <font>
      <name val="Arial"/>
      <b val="1"/>
    </font>
    <font>
      <name val="Arial"/>
      <b val="1"/>
      <color rgb="002E7D5B"/>
      <sz val="14"/>
    </font>
  </fonts>
  <fills count="8">
    <fill>
      <patternFill/>
    </fill>
    <fill>
      <patternFill patternType="gray125"/>
    </fill>
    <fill>
      <patternFill patternType="solid">
        <fgColor rgb="002E7D5B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5" fillId="0" borderId="0" pivotButton="0" quotePrefix="0" xfId="0"/>
    <xf numFmtId="9" fontId="6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/>
    </xf>
  </cellXfs>
  <cellStyles count="1">
    <cellStyle name="Normal" xfId="0" builtinId="0" hidden="0"/>
  </cellStyles>
  <dxfs count="5">
    <dxf>
      <fill>
        <patternFill patternType="solid">
          <fgColor rgb="00D9EAD3"/>
        </patternFill>
      </fill>
    </dxf>
    <dxf>
      <fill>
        <patternFill patternType="solid">
          <fgColor rgb="00CFE2F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6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1" t="inlineStr">
        <is>
          <t>Smart Meal Planner — progress</t>
        </is>
      </c>
    </row>
    <row r="2">
      <c r="A2" s="2" t="inlineStr">
        <is>
          <t>Counts update from the Tasks tab. Change a task's Status there (pick from the list); add new tasks as new rows.</t>
        </is>
      </c>
    </row>
    <row r="4">
      <c r="A4" s="3" t="inlineStr">
        <is>
          <t>Status</t>
        </is>
      </c>
      <c r="B4" s="3" t="inlineStr">
        <is>
          <t>Tasks</t>
        </is>
      </c>
      <c r="C4" s="3" t="inlineStr">
        <is>
          <t>Share</t>
        </is>
      </c>
    </row>
    <row r="5">
      <c r="A5" s="4" t="inlineStr">
        <is>
          <t>Done</t>
        </is>
      </c>
      <c r="B5" s="5">
        <f>COUNTIF(Tasks!$D$2:$D$1000,A5)</f>
        <v/>
      </c>
      <c r="C5" s="6">
        <f>IFERROR(B5/$B$10,0)</f>
        <v/>
      </c>
    </row>
    <row r="6">
      <c r="A6" s="7" t="inlineStr">
        <is>
          <t>In review</t>
        </is>
      </c>
      <c r="B6" s="5">
        <f>COUNTIF(Tasks!$D$2:$D$1000,A6)</f>
        <v/>
      </c>
      <c r="C6" s="6">
        <f>IFERROR(B6/$B$10,0)</f>
        <v/>
      </c>
    </row>
    <row r="7">
      <c r="A7" s="8" t="inlineStr">
        <is>
          <t>In progress</t>
        </is>
      </c>
      <c r="B7" s="5">
        <f>COUNTIF(Tasks!$D$2:$D$1000,A7)</f>
        <v/>
      </c>
      <c r="C7" s="6">
        <f>IFERROR(B7/$B$10,0)</f>
        <v/>
      </c>
    </row>
    <row r="8">
      <c r="A8" s="9" t="inlineStr">
        <is>
          <t>To do</t>
        </is>
      </c>
      <c r="B8" s="5">
        <f>COUNTIF(Tasks!$D$2:$D$1000,A8)</f>
        <v/>
      </c>
      <c r="C8" s="6">
        <f>IFERROR(B8/$B$10,0)</f>
        <v/>
      </c>
    </row>
    <row r="9">
      <c r="A9" s="10" t="inlineStr">
        <is>
          <t>Cancelled</t>
        </is>
      </c>
      <c r="B9" s="5">
        <f>COUNTIF(Tasks!$D$2:$D$1000,A9)</f>
        <v/>
      </c>
      <c r="C9" s="6">
        <f>IFERROR(B9/$B$10,0)</f>
        <v/>
      </c>
    </row>
    <row r="10">
      <c r="A10" s="11" t="inlineStr">
        <is>
          <t>All tasks</t>
        </is>
      </c>
      <c r="B10" s="11">
        <f>SUM(B5:B9)</f>
        <v/>
      </c>
    </row>
    <row r="12">
      <c r="A12" s="11" t="inlineStr">
        <is>
          <t>Complete (done ÷ tasks not cancelled)</t>
        </is>
      </c>
      <c r="B12" s="12">
        <f>IFERROR((B5+B6)/(B10-B9),0)</f>
        <v/>
      </c>
    </row>
    <row r="13">
      <c r="A13" s="2" t="inlineStr">
        <is>
          <t>Counts 'In review' as done: finished, awaiting merge.</t>
        </is>
      </c>
    </row>
    <row r="15">
      <c r="A15" s="3" t="inlineStr">
        <is>
          <t>Area</t>
        </is>
      </c>
      <c r="B15" s="3" t="inlineStr">
        <is>
          <t>Done</t>
        </is>
      </c>
      <c r="C15" s="3" t="inlineStr">
        <is>
          <t>Open</t>
        </is>
      </c>
    </row>
    <row r="16">
      <c r="A16" s="5" t="inlineStr">
        <is>
          <t>Design</t>
        </is>
      </c>
      <c r="B16" s="5">
        <f>COUNTIFS(Tasks!$B$2:$B$1000,A16,Tasks!$D$2:$D$1000,"Done")+COUNTIFS(Tasks!$B$2:$B$1000,A16,Tasks!$D$2:$D$1000,"In review")</f>
        <v/>
      </c>
      <c r="C16" s="5">
        <f>COUNTIFS(Tasks!$B$2:$B$1000,A16,Tasks!$D$2:$D$1000,"To do")+COUNTIFS(Tasks!$B$2:$B$1000,A16,Tasks!$D$2:$D$1000,"In progress")</f>
        <v/>
      </c>
    </row>
    <row r="17">
      <c r="A17" s="5" t="inlineStr">
        <is>
          <t>Docs</t>
        </is>
      </c>
      <c r="B17" s="5">
        <f>COUNTIFS(Tasks!$B$2:$B$1000,A17,Tasks!$D$2:$D$1000,"Done")+COUNTIFS(Tasks!$B$2:$B$1000,A17,Tasks!$D$2:$D$1000,"In review")</f>
        <v/>
      </c>
      <c r="C17" s="5">
        <f>COUNTIFS(Tasks!$B$2:$B$1000,A17,Tasks!$D$2:$D$1000,"To do")+COUNTIFS(Tasks!$B$2:$B$1000,A17,Tasks!$D$2:$D$1000,"In progress")</f>
        <v/>
      </c>
    </row>
    <row r="18">
      <c r="A18" s="5" t="inlineStr">
        <is>
          <t>Foundation</t>
        </is>
      </c>
      <c r="B18" s="5">
        <f>COUNTIFS(Tasks!$B$2:$B$1000,A18,Tasks!$D$2:$D$1000,"Done")+COUNTIFS(Tasks!$B$2:$B$1000,A18,Tasks!$D$2:$D$1000,"In review")</f>
        <v/>
      </c>
      <c r="C18" s="5">
        <f>COUNTIFS(Tasks!$B$2:$B$1000,A18,Tasks!$D$2:$D$1000,"To do")+COUNTIFS(Tasks!$B$2:$B$1000,A18,Tasks!$D$2:$D$1000,"In progress")</f>
        <v/>
      </c>
    </row>
    <row r="19">
      <c r="A19" s="5" t="inlineStr">
        <is>
          <t>Grocery data</t>
        </is>
      </c>
      <c r="B19" s="5">
        <f>COUNTIFS(Tasks!$B$2:$B$1000,A19,Tasks!$D$2:$D$1000,"Done")+COUNTIFS(Tasks!$B$2:$B$1000,A19,Tasks!$D$2:$D$1000,"In review")</f>
        <v/>
      </c>
      <c r="C19" s="5">
        <f>COUNTIFS(Tasks!$B$2:$B$1000,A19,Tasks!$D$2:$D$1000,"To do")+COUNTIFS(Tasks!$B$2:$B$1000,A19,Tasks!$D$2:$D$1000,"In progress")</f>
        <v/>
      </c>
    </row>
    <row r="20">
      <c r="A20" s="5" t="inlineStr">
        <is>
          <t>Grocery list</t>
        </is>
      </c>
      <c r="B20" s="5">
        <f>COUNTIFS(Tasks!$B$2:$B$1000,A20,Tasks!$D$2:$D$1000,"Done")+COUNTIFS(Tasks!$B$2:$B$1000,A20,Tasks!$D$2:$D$1000,"In review")</f>
        <v/>
      </c>
      <c r="C20" s="5">
        <f>COUNTIFS(Tasks!$B$2:$B$1000,A20,Tasks!$D$2:$D$1000,"To do")+COUNTIFS(Tasks!$B$2:$B$1000,A20,Tasks!$D$2:$D$1000,"In progress")</f>
        <v/>
      </c>
    </row>
    <row r="21">
      <c r="A21" s="5" t="inlineStr">
        <is>
          <t>Offers</t>
        </is>
      </c>
      <c r="B21" s="5">
        <f>COUNTIFS(Tasks!$B$2:$B$1000,A21,Tasks!$D$2:$D$1000,"Done")+COUNTIFS(Tasks!$B$2:$B$1000,A21,Tasks!$D$2:$D$1000,"In review")</f>
        <v/>
      </c>
      <c r="C21" s="5">
        <f>COUNTIFS(Tasks!$B$2:$B$1000,A21,Tasks!$D$2:$D$1000,"To do")+COUNTIFS(Tasks!$B$2:$B$1000,A21,Tasks!$D$2:$D$1000,"In progress")</f>
        <v/>
      </c>
    </row>
    <row r="22">
      <c r="A22" s="5" t="inlineStr">
        <is>
          <t>Offline</t>
        </is>
      </c>
      <c r="B22" s="5">
        <f>COUNTIFS(Tasks!$B$2:$B$1000,A22,Tasks!$D$2:$D$1000,"Done")+COUNTIFS(Tasks!$B$2:$B$1000,A22,Tasks!$D$2:$D$1000,"In review")</f>
        <v/>
      </c>
      <c r="C22" s="5">
        <f>COUNTIFS(Tasks!$B$2:$B$1000,A22,Tasks!$D$2:$D$1000,"To do")+COUNTIFS(Tasks!$B$2:$B$1000,A22,Tasks!$D$2:$D$1000,"In progress")</f>
        <v/>
      </c>
    </row>
    <row r="23">
      <c r="A23" s="5" t="inlineStr">
        <is>
          <t>Performance</t>
        </is>
      </c>
      <c r="B23" s="5">
        <f>COUNTIFS(Tasks!$B$2:$B$1000,A23,Tasks!$D$2:$D$1000,"Done")+COUNTIFS(Tasks!$B$2:$B$1000,A23,Tasks!$D$2:$D$1000,"In review")</f>
        <v/>
      </c>
      <c r="C23" s="5">
        <f>COUNTIFS(Tasks!$B$2:$B$1000,A23,Tasks!$D$2:$D$1000,"To do")+COUNTIFS(Tasks!$B$2:$B$1000,A23,Tasks!$D$2:$D$1000,"In progress")</f>
        <v/>
      </c>
    </row>
    <row r="24">
      <c r="A24" s="5" t="inlineStr">
        <is>
          <t>Planner</t>
        </is>
      </c>
      <c r="B24" s="5">
        <f>COUNTIFS(Tasks!$B$2:$B$1000,A24,Tasks!$D$2:$D$1000,"Done")+COUNTIFS(Tasks!$B$2:$B$1000,A24,Tasks!$D$2:$D$1000,"In review")</f>
        <v/>
      </c>
      <c r="C24" s="5">
        <f>COUNTIFS(Tasks!$B$2:$B$1000,A24,Tasks!$D$2:$D$1000,"To do")+COUNTIFS(Tasks!$B$2:$B$1000,A24,Tasks!$D$2:$D$1000,"In progress")</f>
        <v/>
      </c>
    </row>
    <row r="25">
      <c r="A25" s="5" t="inlineStr">
        <is>
          <t>Preferences</t>
        </is>
      </c>
      <c r="B25" s="5">
        <f>COUNTIFS(Tasks!$B$2:$B$1000,A25,Tasks!$D$2:$D$1000,"Done")+COUNTIFS(Tasks!$B$2:$B$1000,A25,Tasks!$D$2:$D$1000,"In review")</f>
        <v/>
      </c>
      <c r="C25" s="5">
        <f>COUNTIFS(Tasks!$B$2:$B$1000,A25,Tasks!$D$2:$D$1000,"To do")+COUNTIFS(Tasks!$B$2:$B$1000,A25,Tasks!$D$2:$D$1000,"In progress")</f>
        <v/>
      </c>
    </row>
    <row r="26">
      <c r="A26" s="5" t="inlineStr">
        <is>
          <t>Quality</t>
        </is>
      </c>
      <c r="B26" s="5">
        <f>COUNTIFS(Tasks!$B$2:$B$1000,A26,Tasks!$D$2:$D$1000,"Done")+COUNTIFS(Tasks!$B$2:$B$1000,A26,Tasks!$D$2:$D$1000,"In review")</f>
        <v/>
      </c>
      <c r="C26" s="5">
        <f>COUNTIFS(Tasks!$B$2:$B$1000,A26,Tasks!$D$2:$D$1000,"To do")+COUNTIFS(Tasks!$B$2:$B$1000,A26,Tasks!$D$2:$D$1000,"In progress")</f>
        <v/>
      </c>
    </row>
    <row r="27">
      <c r="A27" s="5" t="inlineStr">
        <is>
          <t>Recipes</t>
        </is>
      </c>
      <c r="B27" s="5">
        <f>COUNTIFS(Tasks!$B$2:$B$1000,A27,Tasks!$D$2:$D$1000,"Done")+COUNTIFS(Tasks!$B$2:$B$1000,A27,Tasks!$D$2:$D$1000,"In review")</f>
        <v/>
      </c>
      <c r="C27" s="5">
        <f>COUNTIFS(Tasks!$B$2:$B$1000,A27,Tasks!$D$2:$D$1000,"To do")+COUNTIFS(Tasks!$B$2:$B$1000,A27,Tasks!$D$2:$D$1000,"In progress")</f>
        <v/>
      </c>
    </row>
    <row r="28">
      <c r="A28" s="5" t="inlineStr">
        <is>
          <t>Release</t>
        </is>
      </c>
      <c r="B28" s="5">
        <f>COUNTIFS(Tasks!$B$2:$B$1000,A28,Tasks!$D$2:$D$1000,"Done")+COUNTIFS(Tasks!$B$2:$B$1000,A28,Tasks!$D$2:$D$1000,"In review")</f>
        <v/>
      </c>
      <c r="C28" s="5">
        <f>COUNTIFS(Tasks!$B$2:$B$1000,A28,Tasks!$D$2:$D$1000,"To do")+COUNTIFS(Tasks!$B$2:$B$1000,A28,Tasks!$D$2:$D$1000,"In progress")</f>
        <v/>
      </c>
    </row>
    <row r="29">
      <c r="A29" s="5" t="inlineStr">
        <is>
          <t>Settings</t>
        </is>
      </c>
      <c r="B29" s="5">
        <f>COUNTIFS(Tasks!$B$2:$B$1000,A29,Tasks!$D$2:$D$1000,"Done")+COUNTIFS(Tasks!$B$2:$B$1000,A29,Tasks!$D$2:$D$1000,"In review")</f>
        <v/>
      </c>
      <c r="C29" s="5">
        <f>COUNTIFS(Tasks!$B$2:$B$1000,A29,Tasks!$D$2:$D$1000,"To do")+COUNTIFS(Tasks!$B$2:$B$1000,A29,Tasks!$D$2:$D$1000,"In progress")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2" customWidth="1" min="3" max="3"/>
    <col width="13" customWidth="1" min="4" max="4"/>
    <col width="9" customWidth="1" min="5" max="5"/>
    <col width="11" customWidth="1" min="6" max="6"/>
    <col width="12" customWidth="1" min="7" max="7"/>
    <col width="60" customWidth="1" min="8" max="8"/>
  </cols>
  <sheetData>
    <row r="1">
      <c r="A1" s="13" t="inlineStr">
        <is>
          <t>ID</t>
        </is>
      </c>
      <c r="B1" s="13" t="inlineStr">
        <is>
          <t>Area</t>
        </is>
      </c>
      <c r="C1" s="13" t="inlineStr">
        <is>
          <t>Task</t>
        </is>
      </c>
      <c r="D1" s="13" t="inlineStr">
        <is>
          <t>Status</t>
        </is>
      </c>
      <c r="E1" s="13" t="inlineStr">
        <is>
          <t>Owner</t>
        </is>
      </c>
      <c r="F1" s="13" t="inlineStr">
        <is>
          <t>PR</t>
        </is>
      </c>
      <c r="G1" s="13" t="inlineStr">
        <is>
          <t>Done on</t>
        </is>
      </c>
      <c r="H1" s="13" t="inlineStr">
        <is>
          <t>Notes</t>
        </is>
      </c>
    </row>
    <row r="2">
      <c r="A2" s="14" t="inlineStr">
        <is>
          <t>T01</t>
        </is>
      </c>
      <c r="B2" s="14" t="inlineStr">
        <is>
          <t>Foundation</t>
        </is>
      </c>
      <c r="C2" s="15" t="inlineStr">
        <is>
          <t>Initial SwiftUI app, project name and README</t>
        </is>
      </c>
      <c r="D2" s="14" t="inlineStr">
        <is>
          <t>Done</t>
        </is>
      </c>
      <c r="E2" s="14" t="inlineStr">
        <is>
          <t>Claude</t>
        </is>
      </c>
      <c r="F2" s="14" t="inlineStr">
        <is>
          <t>#1–#8</t>
        </is>
      </c>
      <c r="G2" s="16" t="n">
        <v>46300</v>
      </c>
      <c r="H2" s="15" t="inlineStr"/>
    </row>
    <row r="3">
      <c r="A3" s="14" t="inlineStr">
        <is>
          <t>T02</t>
        </is>
      </c>
      <c r="B3" s="14" t="inlineStr">
        <is>
          <t>Design</t>
        </is>
      </c>
      <c r="C3" s="15" t="inlineStr">
        <is>
          <t>Revamp the UI across all screens to match the Figma design</t>
        </is>
      </c>
      <c r="D3" s="14" t="inlineStr">
        <is>
          <t>Done</t>
        </is>
      </c>
      <c r="E3" s="14" t="inlineStr">
        <is>
          <t>Claude</t>
        </is>
      </c>
      <c r="F3" s="14" t="inlineStr">
        <is>
          <t>#9</t>
        </is>
      </c>
      <c r="G3" s="16" t="n">
        <v>46304</v>
      </c>
      <c r="H3" s="15" t="inlineStr"/>
    </row>
    <row r="4">
      <c r="A4" s="14" t="inlineStr">
        <is>
          <t>T03</t>
        </is>
      </c>
      <c r="B4" s="14" t="inlineStr">
        <is>
          <t>Design</t>
        </is>
      </c>
      <c r="C4" s="15" t="inlineStr">
        <is>
          <t>Branded launch screen and app screenshots in the README</t>
        </is>
      </c>
      <c r="D4" s="14" t="inlineStr">
        <is>
          <t>Done</t>
        </is>
      </c>
      <c r="E4" s="14" t="inlineStr">
        <is>
          <t>Claude</t>
        </is>
      </c>
      <c r="F4" s="14" t="inlineStr">
        <is>
          <t>#10</t>
        </is>
      </c>
      <c r="G4" s="16" t="n">
        <v>46304</v>
      </c>
      <c r="H4" s="15" t="inlineStr"/>
    </row>
    <row r="5">
      <c r="A5" s="14" t="inlineStr">
        <is>
          <t>T04</t>
        </is>
      </c>
      <c r="B5" s="14" t="inlineStr">
        <is>
          <t>Preferences</t>
        </is>
      </c>
      <c r="C5" s="15" t="inlineStr">
        <is>
          <t>Derive the shopping region from the postcode</t>
        </is>
      </c>
      <c r="D5" s="14" t="inlineStr">
        <is>
          <t>Done</t>
        </is>
      </c>
      <c r="E5" s="14" t="inlineStr">
        <is>
          <t>Claude</t>
        </is>
      </c>
      <c r="F5" s="14" t="inlineStr">
        <is>
          <t>#11</t>
        </is>
      </c>
      <c r="G5" s="16" t="n">
        <v>46304</v>
      </c>
      <c r="H5" s="15" t="inlineStr"/>
    </row>
    <row r="6">
      <c r="A6" s="14" t="inlineStr">
        <is>
          <t>T05</t>
        </is>
      </c>
      <c r="B6" s="14" t="inlineStr">
        <is>
          <t>Quality</t>
        </is>
      </c>
      <c r="C6" s="15" t="inlineStr">
        <is>
          <t>Fix CI: build the Xcode project</t>
        </is>
      </c>
      <c r="D6" s="14" t="inlineStr">
        <is>
          <t>Done</t>
        </is>
      </c>
      <c r="E6" s="14" t="inlineStr">
        <is>
          <t>Claude</t>
        </is>
      </c>
      <c r="F6" s="14" t="inlineStr">
        <is>
          <t>#12</t>
        </is>
      </c>
      <c r="G6" s="16" t="n">
        <v>46308</v>
      </c>
      <c r="H6" s="15" t="inlineStr"/>
    </row>
    <row r="7">
      <c r="A7" s="14" t="inlineStr">
        <is>
          <t>T06</t>
        </is>
      </c>
      <c r="B7" s="14" t="inlineStr">
        <is>
          <t>Quality</t>
        </is>
      </c>
      <c r="C7" s="15" t="inlineStr">
        <is>
          <t>Unit tests for every screen, run in CI</t>
        </is>
      </c>
      <c r="D7" s="14" t="inlineStr">
        <is>
          <t>Done</t>
        </is>
      </c>
      <c r="E7" s="14" t="inlineStr">
        <is>
          <t>Claude</t>
        </is>
      </c>
      <c r="F7" s="14" t="inlineStr">
        <is>
          <t>#13, #14</t>
        </is>
      </c>
      <c r="G7" s="16" t="n">
        <v>46308</v>
      </c>
      <c r="H7" s="15" t="inlineStr"/>
    </row>
    <row r="8">
      <c r="A8" s="14" t="inlineStr">
        <is>
          <t>T07</t>
        </is>
      </c>
      <c r="B8" s="14" t="inlineStr">
        <is>
          <t>Design</t>
        </is>
      </c>
      <c r="C8" s="15" t="inlineStr">
        <is>
          <t>App icon</t>
        </is>
      </c>
      <c r="D8" s="14" t="inlineStr">
        <is>
          <t>Done</t>
        </is>
      </c>
      <c r="E8" s="14" t="inlineStr">
        <is>
          <t>Claude</t>
        </is>
      </c>
      <c r="F8" s="14" t="inlineStr">
        <is>
          <t>#14</t>
        </is>
      </c>
      <c r="G8" s="16" t="n">
        <v>46308</v>
      </c>
      <c r="H8" s="15" t="inlineStr"/>
    </row>
    <row r="9">
      <c r="A9" s="14" t="inlineStr">
        <is>
          <t>T08</t>
        </is>
      </c>
      <c r="B9" s="14" t="inlineStr">
        <is>
          <t>Settings</t>
        </is>
      </c>
      <c r="C9" s="15" t="inlineStr">
        <is>
          <t>Settings screen: theme and version</t>
        </is>
      </c>
      <c r="D9" s="14" t="inlineStr">
        <is>
          <t>Done</t>
        </is>
      </c>
      <c r="E9" s="14" t="inlineStr">
        <is>
          <t>Claude</t>
        </is>
      </c>
      <c r="F9" s="14" t="inlineStr">
        <is>
          <t>#15</t>
        </is>
      </c>
      <c r="G9" s="16" t="n">
        <v>46309</v>
      </c>
      <c r="H9" s="15" t="inlineStr"/>
    </row>
    <row r="10">
      <c r="A10" s="14" t="inlineStr">
        <is>
          <t>T09</t>
        </is>
      </c>
      <c r="B10" s="14" t="inlineStr">
        <is>
          <t>Quality</t>
        </is>
      </c>
      <c r="C10" s="15" t="inlineStr">
        <is>
          <t>UI tests and app icon tests</t>
        </is>
      </c>
      <c r="D10" s="14" t="inlineStr">
        <is>
          <t>Done</t>
        </is>
      </c>
      <c r="E10" s="14" t="inlineStr">
        <is>
          <t>Claude</t>
        </is>
      </c>
      <c r="F10" s="14" t="inlineStr">
        <is>
          <t>#15</t>
        </is>
      </c>
      <c r="G10" s="16" t="n">
        <v>46309</v>
      </c>
      <c r="H10" s="15" t="inlineStr"/>
    </row>
    <row r="11">
      <c r="A11" s="14" t="inlineStr">
        <is>
          <t>T10</t>
        </is>
      </c>
      <c r="B11" s="14" t="inlineStr">
        <is>
          <t>Quality</t>
        </is>
      </c>
      <c r="C11" s="15" t="inlineStr">
        <is>
          <t>Record every test run in the test report Google Sheet</t>
        </is>
      </c>
      <c r="D11" s="14" t="inlineStr">
        <is>
          <t>Done</t>
        </is>
      </c>
      <c r="E11" s="14" t="inlineStr">
        <is>
          <t>Claude</t>
        </is>
      </c>
      <c r="F11" s="14" t="inlineStr">
        <is>
          <t>#16</t>
        </is>
      </c>
      <c r="G11" s="16" t="n">
        <v>46309</v>
      </c>
      <c r="H11" s="15" t="inlineStr"/>
    </row>
    <row r="12">
      <c r="A12" s="14" t="inlineStr">
        <is>
          <t>T11</t>
        </is>
      </c>
      <c r="B12" s="14" t="inlineStr">
        <is>
          <t>Release</t>
        </is>
      </c>
      <c r="C12" s="15" t="inlineStr">
        <is>
          <t>Merge develop into main (UI revamp, region, tests, CI, test report)</t>
        </is>
      </c>
      <c r="D12" s="14" t="inlineStr">
        <is>
          <t>Done</t>
        </is>
      </c>
      <c r="E12" s="14" t="inlineStr">
        <is>
          <t>You</t>
        </is>
      </c>
      <c r="F12" s="14" t="inlineStr">
        <is>
          <t>#17</t>
        </is>
      </c>
      <c r="G12" s="16" t="n">
        <v>46310</v>
      </c>
      <c r="H12" s="15" t="inlineStr"/>
    </row>
    <row r="13">
      <c r="A13" s="14" t="inlineStr">
        <is>
          <t>T12</t>
        </is>
      </c>
      <c r="B13" s="14" t="inlineStr">
        <is>
          <t>Grocery data</t>
        </is>
      </c>
      <c r="C13" s="15" t="inlineStr">
        <is>
          <t>Weekly grocery database: each store fetched on its offer day</t>
        </is>
      </c>
      <c r="D13" s="14" t="inlineStr">
        <is>
          <t>Done</t>
        </is>
      </c>
      <c r="E13" s="14" t="inlineStr">
        <is>
          <t>Claude</t>
        </is>
      </c>
      <c r="F13" s="14" t="inlineStr">
        <is>
          <t>#18</t>
        </is>
      </c>
      <c r="G13" s="16" t="n">
        <v>46310</v>
      </c>
      <c r="H13" s="15" t="inlineStr">
        <is>
          <t>SQLite + GitHub Actions; app downloads only when the feed changed</t>
        </is>
      </c>
    </row>
    <row r="14">
      <c r="A14" s="14" t="inlineStr">
        <is>
          <t>T13</t>
        </is>
      </c>
      <c r="B14" s="14" t="inlineStr">
        <is>
          <t>Grocery data</t>
        </is>
      </c>
      <c r="C14" s="15" t="inlineStr">
        <is>
          <t>Supabase table editor to view and edit prices</t>
        </is>
      </c>
      <c r="D14" s="14" t="inlineStr">
        <is>
          <t>Done</t>
        </is>
      </c>
      <c r="E14" s="14" t="inlineStr">
        <is>
          <t>Claude</t>
        </is>
      </c>
      <c r="F14" s="14" t="inlineStr">
        <is>
          <t>#18–#20</t>
        </is>
      </c>
      <c r="G14" s="16" t="n">
        <v>46310</v>
      </c>
      <c r="H14" s="15" t="inlineStr"/>
    </row>
    <row r="15">
      <c r="A15" s="14" t="inlineStr">
        <is>
          <t>T14</t>
        </is>
      </c>
      <c r="B15" s="14" t="inlineStr">
        <is>
          <t>Grocery data</t>
        </is>
      </c>
      <c r="C15" s="15" t="inlineStr">
        <is>
          <t>Fix Supabase sync rejected as a browser</t>
        </is>
      </c>
      <c r="D15" s="14" t="inlineStr">
        <is>
          <t>Done</t>
        </is>
      </c>
      <c r="E15" s="14" t="inlineStr">
        <is>
          <t>Claude</t>
        </is>
      </c>
      <c r="F15" s="14" t="inlineStr">
        <is>
          <t>#19</t>
        </is>
      </c>
      <c r="G15" s="16" t="n">
        <v>46310</v>
      </c>
      <c r="H15" s="15" t="inlineStr"/>
    </row>
    <row r="16">
      <c r="A16" s="14" t="inlineStr">
        <is>
          <t>T15</t>
        </is>
      </c>
      <c r="B16" s="14" t="inlineStr">
        <is>
          <t>Grocery data</t>
        </is>
      </c>
      <c r="C16" s="15" t="inlineStr">
        <is>
          <t>Fill an empty Supabase mirror when no store is due</t>
        </is>
      </c>
      <c r="D16" s="14" t="inlineStr">
        <is>
          <t>Done</t>
        </is>
      </c>
      <c r="E16" s="14" t="inlineStr">
        <is>
          <t>Claude</t>
        </is>
      </c>
      <c r="F16" s="14" t="inlineStr">
        <is>
          <t>#20</t>
        </is>
      </c>
      <c r="G16" s="16" t="n">
        <v>46310</v>
      </c>
      <c r="H16" s="15" t="inlineStr"/>
    </row>
    <row r="17">
      <c r="A17" s="14" t="inlineStr">
        <is>
          <t>T16</t>
        </is>
      </c>
      <c r="B17" s="14" t="inlineStr">
        <is>
          <t>Offers</t>
        </is>
      </c>
      <c r="C17" s="15" t="inlineStr">
        <is>
          <t>Product photos in the database and on offers</t>
        </is>
      </c>
      <c r="D17" s="14" t="inlineStr">
        <is>
          <t>Done</t>
        </is>
      </c>
      <c r="E17" s="14" t="inlineStr">
        <is>
          <t>Claude</t>
        </is>
      </c>
      <c r="F17" s="14" t="inlineStr">
        <is>
          <t>#21</t>
        </is>
      </c>
      <c r="G17" s="16" t="n">
        <v>46310</v>
      </c>
      <c r="H17" s="15" t="inlineStr"/>
    </row>
    <row r="18">
      <c r="A18" s="14" t="inlineStr">
        <is>
          <t>T17</t>
        </is>
      </c>
      <c r="B18" s="14" t="inlineStr">
        <is>
          <t>Grocery list</t>
        </is>
      </c>
      <c r="C18" s="15" t="inlineStr">
        <is>
          <t>Add-to-list buttons, store filters, editable list tab with totals</t>
        </is>
      </c>
      <c r="D18" s="14" t="inlineStr">
        <is>
          <t>Done</t>
        </is>
      </c>
      <c r="E18" s="14" t="inlineStr">
        <is>
          <t>Claude</t>
        </is>
      </c>
      <c r="F18" s="14" t="inlineStr">
        <is>
          <t>#21</t>
        </is>
      </c>
      <c r="G18" s="16" t="n">
        <v>46310</v>
      </c>
      <c r="H18" s="15" t="inlineStr"/>
    </row>
    <row r="19">
      <c r="A19" s="14" t="inlineStr">
        <is>
          <t>T18</t>
        </is>
      </c>
      <c r="B19" s="14" t="inlineStr">
        <is>
          <t>Preferences</t>
        </is>
      </c>
      <c r="C19" s="15" t="inlineStr">
        <is>
          <t>Preferences save on the first submit</t>
        </is>
      </c>
      <c r="D19" s="14" t="inlineStr">
        <is>
          <t>Done</t>
        </is>
      </c>
      <c r="E19" s="14" t="inlineStr">
        <is>
          <t>Claude</t>
        </is>
      </c>
      <c r="F19" s="14" t="inlineStr">
        <is>
          <t>#22</t>
        </is>
      </c>
      <c r="G19" s="16" t="n">
        <v>46314</v>
      </c>
      <c r="H19" s="15" t="inlineStr"/>
    </row>
    <row r="20">
      <c r="A20" s="14" t="inlineStr">
        <is>
          <t>T19</t>
        </is>
      </c>
      <c r="B20" s="14" t="inlineStr">
        <is>
          <t>Planner</t>
        </is>
      </c>
      <c r="C20" s="15" t="inlineStr">
        <is>
          <t>No dish more than once a day or twice a week</t>
        </is>
      </c>
      <c r="D20" s="14" t="inlineStr">
        <is>
          <t>Done</t>
        </is>
      </c>
      <c r="E20" s="14" t="inlineStr">
        <is>
          <t>Claude</t>
        </is>
      </c>
      <c r="F20" s="14" t="inlineStr">
        <is>
          <t>#22</t>
        </is>
      </c>
      <c r="G20" s="16" t="n">
        <v>46314</v>
      </c>
      <c r="H20" s="15" t="inlineStr"/>
    </row>
    <row r="21">
      <c r="A21" s="14" t="inlineStr">
        <is>
          <t>T20</t>
        </is>
      </c>
      <c r="B21" s="14" t="inlineStr">
        <is>
          <t>Preferences</t>
        </is>
      </c>
      <c r="C21" s="15" t="inlineStr">
        <is>
          <t>Number of people; recipes and groceries scale to it</t>
        </is>
      </c>
      <c r="D21" s="14" t="inlineStr">
        <is>
          <t>Done</t>
        </is>
      </c>
      <c r="E21" s="14" t="inlineStr">
        <is>
          <t>Claude</t>
        </is>
      </c>
      <c r="F21" s="14" t="inlineStr">
        <is>
          <t>#22</t>
        </is>
      </c>
      <c r="G21" s="16" t="n">
        <v>46314</v>
      </c>
      <c r="H21" s="15" t="inlineStr"/>
    </row>
    <row r="22">
      <c r="A22" s="14" t="inlineStr">
        <is>
          <t>T21</t>
        </is>
      </c>
      <c r="B22" s="14" t="inlineStr">
        <is>
          <t>Recipes</t>
        </is>
      </c>
      <c r="C22" s="15" t="inlineStr">
        <is>
          <t>Prep, cook and total time instead of the step count</t>
        </is>
      </c>
      <c r="D22" s="14" t="inlineStr">
        <is>
          <t>Done</t>
        </is>
      </c>
      <c r="E22" s="14" t="inlineStr">
        <is>
          <t>Claude</t>
        </is>
      </c>
      <c r="F22" s="14" t="inlineStr">
        <is>
          <t>#22</t>
        </is>
      </c>
      <c r="G22" s="16" t="n">
        <v>46314</v>
      </c>
      <c r="H22" s="15" t="inlineStr"/>
    </row>
    <row r="23">
      <c r="A23" s="14" t="inlineStr">
        <is>
          <t>T22</t>
        </is>
      </c>
      <c r="B23" s="14" t="inlineStr">
        <is>
          <t>Recipes</t>
        </is>
      </c>
      <c r="C23" s="15" t="inlineStr">
        <is>
          <t>YouTube links open in the YouTube app, else Safari</t>
        </is>
      </c>
      <c r="D23" s="14" t="inlineStr">
        <is>
          <t>Done</t>
        </is>
      </c>
      <c r="E23" s="14" t="inlineStr">
        <is>
          <t>Claude</t>
        </is>
      </c>
      <c r="F23" s="14" t="inlineStr">
        <is>
          <t>#22</t>
        </is>
      </c>
      <c r="G23" s="16" t="n">
        <v>46314</v>
      </c>
      <c r="H23" s="15" t="inlineStr"/>
    </row>
    <row r="24">
      <c r="A24" s="14" t="inlineStr">
        <is>
          <t>T23</t>
        </is>
      </c>
      <c r="B24" s="14" t="inlineStr">
        <is>
          <t>Offers</t>
        </is>
      </c>
      <c r="C24" s="15" t="inlineStr">
        <is>
          <t>Supermarket logos in the store filters</t>
        </is>
      </c>
      <c r="D24" s="14" t="inlineStr">
        <is>
          <t>Done</t>
        </is>
      </c>
      <c r="E24" s="14" t="inlineStr">
        <is>
          <t>Claude</t>
        </is>
      </c>
      <c r="F24" s="14" t="inlineStr">
        <is>
          <t>#22</t>
        </is>
      </c>
      <c r="G24" s="16" t="n">
        <v>46314</v>
      </c>
      <c r="H24" s="15" t="inlineStr"/>
    </row>
    <row r="25">
      <c r="A25" s="14" t="inlineStr">
        <is>
          <t>T24</t>
        </is>
      </c>
      <c r="B25" s="14" t="inlineStr">
        <is>
          <t>Settings</t>
        </is>
      </c>
      <c r="C25" s="15" t="inlineStr">
        <is>
          <t>Profile: weekly spending and savings against the budget</t>
        </is>
      </c>
      <c r="D25" s="14" t="inlineStr">
        <is>
          <t>Done</t>
        </is>
      </c>
      <c r="E25" s="14" t="inlineStr">
        <is>
          <t>Claude</t>
        </is>
      </c>
      <c r="F25" s="14" t="inlineStr">
        <is>
          <t>#22</t>
        </is>
      </c>
      <c r="G25" s="16" t="n">
        <v>46314</v>
      </c>
      <c r="H25" s="15" t="inlineStr"/>
    </row>
    <row r="26">
      <c r="A26" s="14" t="inlineStr">
        <is>
          <t>T25</t>
        </is>
      </c>
      <c r="B26" s="14" t="inlineStr">
        <is>
          <t>Preferences</t>
        </is>
      </c>
      <c r="C26" s="15" t="inlineStr">
        <is>
          <t>Stores within 2 km of the postcode</t>
        </is>
      </c>
      <c r="D26" s="14" t="inlineStr">
        <is>
          <t>Done</t>
        </is>
      </c>
      <c r="E26" s="14" t="inlineStr">
        <is>
          <t>Claude</t>
        </is>
      </c>
      <c r="F26" s="14" t="inlineStr">
        <is>
          <t>#22</t>
        </is>
      </c>
      <c r="G26" s="16" t="n">
        <v>46314</v>
      </c>
      <c r="H26" s="15" t="inlineStr"/>
    </row>
    <row r="27">
      <c r="A27" s="14" t="inlineStr">
        <is>
          <t>T26</t>
        </is>
      </c>
      <c r="B27" s="14" t="inlineStr">
        <is>
          <t>Settings</t>
        </is>
      </c>
      <c r="C27" s="15" t="inlineStr">
        <is>
          <t>Notifications when a supermarket's new offers are in</t>
        </is>
      </c>
      <c r="D27" s="14" t="inlineStr">
        <is>
          <t>Done</t>
        </is>
      </c>
      <c r="E27" s="14" t="inlineStr">
        <is>
          <t>Claude</t>
        </is>
      </c>
      <c r="F27" s="14" t="inlineStr">
        <is>
          <t>#22</t>
        </is>
      </c>
      <c r="G27" s="16" t="n">
        <v>46314</v>
      </c>
      <c r="H27" s="15" t="inlineStr">
        <is>
          <t>Local notifications on each store's offer day</t>
        </is>
      </c>
    </row>
    <row r="28">
      <c r="A28" s="14" t="inlineStr">
        <is>
          <t>T27</t>
        </is>
      </c>
      <c r="B28" s="14" t="inlineStr">
        <is>
          <t>Recipes</t>
        </is>
      </c>
      <c r="C28" s="15" t="inlineStr">
        <is>
          <t>AI-assisted recipe search for the preferences</t>
        </is>
      </c>
      <c r="D28" s="14" t="inlineStr">
        <is>
          <t>Done</t>
        </is>
      </c>
      <c r="E28" s="14" t="inlineStr">
        <is>
          <t>Claude</t>
        </is>
      </c>
      <c r="F28" s="14" t="inlineStr">
        <is>
          <t>#22, #25</t>
        </is>
      </c>
      <c r="G28" s="16" t="n">
        <v>46315</v>
      </c>
      <c r="H28" s="15" t="inlineStr">
        <is>
          <t>Spoonacular + Claude Haiku via a Supabase function</t>
        </is>
      </c>
    </row>
    <row r="29">
      <c r="A29" s="14" t="inlineStr">
        <is>
          <t>T28</t>
        </is>
      </c>
      <c r="B29" s="14" t="inlineStr">
        <is>
          <t>Docs</t>
        </is>
      </c>
      <c r="C29" s="15" t="inlineStr">
        <is>
          <t>API docs and Postman security checks</t>
        </is>
      </c>
      <c r="D29" s="14" t="inlineStr">
        <is>
          <t>Done</t>
        </is>
      </c>
      <c r="E29" s="14" t="inlineStr">
        <is>
          <t>Claude</t>
        </is>
      </c>
      <c r="F29" s="14" t="inlineStr">
        <is>
          <t>#22</t>
        </is>
      </c>
      <c r="G29" s="16" t="n">
        <v>46314</v>
      </c>
      <c r="H29" s="15" t="inlineStr"/>
    </row>
    <row r="30">
      <c r="A30" s="14" t="inlineStr">
        <is>
          <t>T29</t>
        </is>
      </c>
      <c r="B30" s="14" t="inlineStr">
        <is>
          <t>Docs</t>
        </is>
      </c>
      <c r="C30" s="15" t="inlineStr">
        <is>
          <t>README split into summary, features, design, API and test documents</t>
        </is>
      </c>
      <c r="D30" s="14" t="inlineStr">
        <is>
          <t>Done</t>
        </is>
      </c>
      <c r="E30" s="14" t="inlineStr">
        <is>
          <t>Claude</t>
        </is>
      </c>
      <c r="F30" s="14" t="inlineStr">
        <is>
          <t>#22</t>
        </is>
      </c>
      <c r="G30" s="16" t="n">
        <v>46314</v>
      </c>
      <c r="H30" s="15" t="inlineStr"/>
    </row>
    <row r="31">
      <c r="A31" s="14" t="inlineStr">
        <is>
          <t>T30</t>
        </is>
      </c>
      <c r="B31" s="14" t="inlineStr">
        <is>
          <t>Design</t>
        </is>
      </c>
      <c r="C31" s="15" t="inlineStr">
        <is>
          <t>Update the Figma screens</t>
        </is>
      </c>
      <c r="D31" s="14" t="inlineStr">
        <is>
          <t>Done</t>
        </is>
      </c>
      <c r="E31" s="14" t="inlineStr">
        <is>
          <t>Claude</t>
        </is>
      </c>
      <c r="F31" s="14" t="inlineStr">
        <is>
          <t>#22</t>
        </is>
      </c>
      <c r="G31" s="16" t="n">
        <v>46314</v>
      </c>
      <c r="H31" s="15" t="inlineStr"/>
    </row>
    <row r="32">
      <c r="A32" s="14" t="inlineStr">
        <is>
          <t>T31</t>
        </is>
      </c>
      <c r="B32" s="14" t="inlineStr">
        <is>
          <t>Offers</t>
        </is>
      </c>
      <c r="C32" s="15" t="inlineStr">
        <is>
          <t>Albert Heijn offers from Open Prices; add AH Bonus deals yourself</t>
        </is>
      </c>
      <c r="D32" s="14" t="inlineStr">
        <is>
          <t>Done</t>
        </is>
      </c>
      <c r="E32" s="14" t="inlineStr">
        <is>
          <t>Claude</t>
        </is>
      </c>
      <c r="F32" s="14" t="inlineStr">
        <is>
          <t>#23</t>
        </is>
      </c>
      <c r="G32" s="16" t="n">
        <v>46314</v>
      </c>
      <c r="H32" s="15" t="inlineStr"/>
    </row>
    <row r="33">
      <c r="A33" s="14" t="inlineStr">
        <is>
          <t>T32</t>
        </is>
      </c>
      <c r="B33" s="14" t="inlineStr">
        <is>
          <t>Grocery data</t>
        </is>
      </c>
      <c r="C33" s="15" t="inlineStr">
        <is>
          <t>Fix Dirk/DekaMarkt normal prices (Pepsi −93%)</t>
        </is>
      </c>
      <c r="D33" s="14" t="inlineStr">
        <is>
          <t>Done</t>
        </is>
      </c>
      <c r="E33" s="14" t="inlineStr">
        <is>
          <t>Claude</t>
        </is>
      </c>
      <c r="F33" s="14" t="inlineStr">
        <is>
          <t>#24</t>
        </is>
      </c>
      <c r="G33" s="16" t="n">
        <v>46315</v>
      </c>
      <c r="H33" s="15" t="inlineStr"/>
    </row>
    <row r="34">
      <c r="A34" s="14" t="inlineStr">
        <is>
          <t>T33</t>
        </is>
      </c>
      <c r="B34" s="14" t="inlineStr">
        <is>
          <t>Offers</t>
        </is>
      </c>
      <c r="C34" s="15" t="inlineStr">
        <is>
          <t>Product photos for every store (refresh the feed)</t>
        </is>
      </c>
      <c r="D34" s="14" t="inlineStr">
        <is>
          <t>Done</t>
        </is>
      </c>
      <c r="E34" s="14" t="inlineStr">
        <is>
          <t>Claude</t>
        </is>
      </c>
      <c r="F34" s="14" t="inlineStr"/>
      <c r="G34" s="16" t="n">
        <v>46315</v>
      </c>
      <c r="H34" s="15" t="inlineStr">
        <is>
          <t>Re-fetched Jumbo, Dirk, Hoogvliet</t>
        </is>
      </c>
    </row>
    <row r="35">
      <c r="A35" s="14" t="inlineStr">
        <is>
          <t>T34</t>
        </is>
      </c>
      <c r="B35" s="14" t="inlineStr">
        <is>
          <t>Performance</t>
        </is>
      </c>
      <c r="C35" s="15" t="inlineStr">
        <is>
          <t>Fix lag when switching tabs and themes</t>
        </is>
      </c>
      <c r="D35" s="14" t="inlineStr">
        <is>
          <t>Done</t>
        </is>
      </c>
      <c r="E35" s="14" t="inlineStr">
        <is>
          <t>Claude</t>
        </is>
      </c>
      <c r="F35" s="14" t="inlineStr">
        <is>
          <t>#25</t>
        </is>
      </c>
      <c r="G35" s="16" t="n">
        <v>46315</v>
      </c>
      <c r="H35" s="15" t="inlineStr">
        <is>
          <t>Launch hang 2.0 s → 0.4 s</t>
        </is>
      </c>
    </row>
    <row r="36">
      <c r="A36" s="14" t="inlineStr">
        <is>
          <t>T35</t>
        </is>
      </c>
      <c r="B36" s="14" t="inlineStr">
        <is>
          <t>Recipes</t>
        </is>
      </c>
      <c r="C36" s="15" t="inlineStr">
        <is>
          <t>Real recipes with sources: Spoonacular original link and real YouTube videos</t>
        </is>
      </c>
      <c r="D36" s="14" t="inlineStr">
        <is>
          <t>Done</t>
        </is>
      </c>
      <c r="E36" s="14" t="inlineStr">
        <is>
          <t>Claude</t>
        </is>
      </c>
      <c r="F36" s="14" t="inlineStr">
        <is>
          <t>#25</t>
        </is>
      </c>
      <c r="G36" s="16" t="n">
        <v>46315</v>
      </c>
      <c r="H36" s="15" t="inlineStr"/>
    </row>
    <row r="37">
      <c r="A37" s="14" t="inlineStr">
        <is>
          <t>T36</t>
        </is>
      </c>
      <c r="B37" s="14" t="inlineStr">
        <is>
          <t>Recipes</t>
        </is>
      </c>
      <c r="C37" s="15" t="inlineStr">
        <is>
          <t>Detailed steps; fix recipe page alignment</t>
        </is>
      </c>
      <c r="D37" s="14" t="inlineStr">
        <is>
          <t>Done</t>
        </is>
      </c>
      <c r="E37" s="14" t="inlineStr">
        <is>
          <t>Claude</t>
        </is>
      </c>
      <c r="F37" s="14" t="inlineStr">
        <is>
          <t>#25</t>
        </is>
      </c>
      <c r="G37" s="16" t="n">
        <v>46315</v>
      </c>
      <c r="H37" s="15" t="inlineStr"/>
    </row>
    <row r="38">
      <c r="A38" s="14" t="inlineStr">
        <is>
          <t>T37</t>
        </is>
      </c>
      <c r="B38" s="14" t="inlineStr">
        <is>
          <t>Recipes</t>
        </is>
      </c>
      <c r="C38" s="15" t="inlineStr">
        <is>
          <t>No built-in sample recipes; on-device AI fallback with recipe-site links</t>
        </is>
      </c>
      <c r="D38" s="14" t="inlineStr">
        <is>
          <t>Done</t>
        </is>
      </c>
      <c r="E38" s="14" t="inlineStr">
        <is>
          <t>Claude</t>
        </is>
      </c>
      <c r="F38" s="14" t="inlineStr">
        <is>
          <t>#25</t>
        </is>
      </c>
      <c r="G38" s="16" t="n">
        <v>46315</v>
      </c>
      <c r="H38" s="15" t="inlineStr"/>
    </row>
    <row r="39">
      <c r="A39" s="14" t="inlineStr">
        <is>
          <t>T38</t>
        </is>
      </c>
      <c r="B39" s="14" t="inlineStr">
        <is>
          <t>Offline</t>
        </is>
      </c>
      <c r="C39" s="15" t="inlineStr">
        <is>
          <t>Offline shows stored data or 'needs internet', never samples</t>
        </is>
      </c>
      <c r="D39" s="14" t="inlineStr">
        <is>
          <t>Done</t>
        </is>
      </c>
      <c r="E39" s="14" t="inlineStr">
        <is>
          <t>Claude</t>
        </is>
      </c>
      <c r="F39" s="14" t="inlineStr">
        <is>
          <t>#25</t>
        </is>
      </c>
      <c r="G39" s="16" t="n">
        <v>46315</v>
      </c>
      <c r="H39" s="15" t="inlineStr"/>
    </row>
    <row r="40">
      <c r="A40" s="14" t="inlineStr">
        <is>
          <t>T39</t>
        </is>
      </c>
      <c r="B40" s="14" t="inlineStr">
        <is>
          <t>Docs</t>
        </is>
      </c>
      <c r="C40" s="15" t="inlineStr">
        <is>
          <t>README screenshots updated and every feature explained</t>
        </is>
      </c>
      <c r="D40" s="14" t="inlineStr">
        <is>
          <t>Done</t>
        </is>
      </c>
      <c r="E40" s="14" t="inlineStr">
        <is>
          <t>Claude</t>
        </is>
      </c>
      <c r="F40" s="14" t="inlineStr">
        <is>
          <t>#25</t>
        </is>
      </c>
      <c r="G40" s="16" t="n">
        <v>46315</v>
      </c>
      <c r="H40" s="15" t="inlineStr"/>
    </row>
    <row r="41">
      <c r="A41" s="14" t="inlineStr">
        <is>
          <t>T40</t>
        </is>
      </c>
      <c r="B41" s="14" t="inlineStr">
        <is>
          <t>Design</t>
        </is>
      </c>
      <c r="C41" s="15" t="inlineStr">
        <is>
          <t>Filter rows fade at the screen edges</t>
        </is>
      </c>
      <c r="D41" s="14" t="inlineStr">
        <is>
          <t>Done</t>
        </is>
      </c>
      <c r="E41" s="14" t="inlineStr">
        <is>
          <t>Claude</t>
        </is>
      </c>
      <c r="F41" s="14" t="inlineStr">
        <is>
          <t>#25</t>
        </is>
      </c>
      <c r="G41" s="16" t="n">
        <v>46315</v>
      </c>
      <c r="H41" s="15" t="inlineStr"/>
    </row>
    <row r="42">
      <c r="A42" s="14" t="inlineStr">
        <is>
          <t>T41</t>
        </is>
      </c>
      <c r="B42" s="14" t="inlineStr">
        <is>
          <t>Grocery list</t>
        </is>
      </c>
      <c r="C42" s="15" t="inlineStr">
        <is>
          <t>Show the + only when the list has items</t>
        </is>
      </c>
      <c r="D42" s="14" t="inlineStr">
        <is>
          <t>Done</t>
        </is>
      </c>
      <c r="E42" s="14" t="inlineStr">
        <is>
          <t>Claude</t>
        </is>
      </c>
      <c r="F42" s="14" t="inlineStr">
        <is>
          <t>#25</t>
        </is>
      </c>
      <c r="G42" s="16" t="n">
        <v>46315</v>
      </c>
      <c r="H42" s="15" t="inlineStr"/>
    </row>
    <row r="43">
      <c r="A43" s="14" t="inlineStr">
        <is>
          <t>T42</t>
        </is>
      </c>
      <c r="B43" s="14" t="inlineStr">
        <is>
          <t>Planner</t>
        </is>
      </c>
      <c r="C43" s="15" t="inlineStr">
        <is>
          <t>Keep the week within the budget</t>
        </is>
      </c>
      <c r="D43" s="14" t="inlineStr">
        <is>
          <t>In review</t>
        </is>
      </c>
      <c r="E43" s="14" t="inlineStr">
        <is>
          <t>Claude</t>
        </is>
      </c>
      <c r="F43" s="14" t="inlineStr"/>
      <c r="G43" s="16" t="n"/>
      <c r="H43" s="15" t="inlineStr">
        <is>
          <t>Done on branch feature/budget-share-brochure; PR to come</t>
        </is>
      </c>
    </row>
    <row r="44">
      <c r="A44" s="14" t="inlineStr">
        <is>
          <t>T43</t>
        </is>
      </c>
      <c r="B44" s="14" t="inlineStr">
        <is>
          <t>Grocery list</t>
        </is>
      </c>
      <c r="C44" s="15" t="inlineStr">
        <is>
          <t>Share the grocery list</t>
        </is>
      </c>
      <c r="D44" s="14" t="inlineStr">
        <is>
          <t>In review</t>
        </is>
      </c>
      <c r="E44" s="14" t="inlineStr">
        <is>
          <t>Claude</t>
        </is>
      </c>
      <c r="F44" s="14" t="inlineStr"/>
      <c r="G44" s="16" t="n"/>
      <c r="H44" s="15" t="inlineStr">
        <is>
          <t>Done on branch feature/budget-share-brochure; PR to come</t>
        </is>
      </c>
    </row>
    <row r="45">
      <c r="A45" s="14" t="inlineStr">
        <is>
          <t>T44</t>
        </is>
      </c>
      <c r="B45" s="14" t="inlineStr">
        <is>
          <t>Design</t>
        </is>
      </c>
      <c r="C45" s="15" t="inlineStr">
        <is>
          <t>App flow diagram in Figma</t>
        </is>
      </c>
      <c r="D45" s="14" t="inlineStr">
        <is>
          <t>Done</t>
        </is>
      </c>
      <c r="E45" s="14" t="inlineStr">
        <is>
          <t>Claude</t>
        </is>
      </c>
      <c r="F45" s="14" t="inlineStr"/>
      <c r="G45" s="16" t="n">
        <v>46317</v>
      </c>
      <c r="H45" s="15" t="inlineStr">
        <is>
          <t>Frame 'App flow' in the Figma file</t>
        </is>
      </c>
    </row>
    <row r="46">
      <c r="A46" s="14" t="inlineStr">
        <is>
          <t>T45</t>
        </is>
      </c>
      <c r="B46" s="14" t="inlineStr">
        <is>
          <t>Design</t>
        </is>
      </c>
      <c r="C46" s="15" t="inlineStr">
        <is>
          <t>Screen navigation (prototype) in Figma</t>
        </is>
      </c>
      <c r="D46" s="14" t="inlineStr">
        <is>
          <t>Done</t>
        </is>
      </c>
      <c r="E46" s="14" t="inlineStr">
        <is>
          <t>Claude</t>
        </is>
      </c>
      <c r="F46" s="14" t="inlineStr"/>
      <c r="G46" s="16" t="n">
        <v>46317</v>
      </c>
      <c r="H46" s="15" t="inlineStr">
        <is>
          <t>Tab bar, meal rows, grocery card, back buttons; starts on the empty plan</t>
        </is>
      </c>
    </row>
    <row r="47">
      <c r="A47" s="14" t="inlineStr">
        <is>
          <t>T46</t>
        </is>
      </c>
      <c r="B47" s="14" t="inlineStr">
        <is>
          <t>Offers</t>
        </is>
      </c>
      <c r="C47" s="15" t="inlineStr">
        <is>
          <t>Store brochures with a page-turn effect</t>
        </is>
      </c>
      <c r="D47" s="14" t="inlineStr">
        <is>
          <t>Cancelled</t>
        </is>
      </c>
      <c r="E47" s="14" t="inlineStr">
        <is>
          <t>You</t>
        </is>
      </c>
      <c r="F47" s="14" t="inlineStr"/>
      <c r="G47" s="16" t="n"/>
      <c r="H47" s="15" t="inlineStr">
        <is>
          <t>Removed from the executables</t>
        </is>
      </c>
    </row>
    <row r="48">
      <c r="A48" s="14" t="inlineStr">
        <is>
          <t>T47</t>
        </is>
      </c>
      <c r="B48" s="14" t="inlineStr">
        <is>
          <t>Docs</t>
        </is>
      </c>
      <c r="C48" s="15" t="inlineStr">
        <is>
          <t>Progress spreadsheet of executed and pending tasks</t>
        </is>
      </c>
      <c r="D48" s="14" t="inlineStr">
        <is>
          <t>Done</t>
        </is>
      </c>
      <c r="E48" s="14" t="inlineStr">
        <is>
          <t>Claude</t>
        </is>
      </c>
      <c r="F48" s="14" t="inlineStr"/>
      <c r="G48" s="16" t="n">
        <v>46317</v>
      </c>
      <c r="H48" s="15" t="inlineStr">
        <is>
          <t>This file</t>
        </is>
      </c>
    </row>
    <row r="49">
      <c r="A49" s="14" t="inlineStr">
        <is>
          <t>T48</t>
        </is>
      </c>
      <c r="B49" s="14" t="inlineStr">
        <is>
          <t>Recipes</t>
        </is>
      </c>
      <c r="C49" s="15" t="inlineStr">
        <is>
          <t>Deploy the recipe-search function with the Spoonacular and Anthropic keys</t>
        </is>
      </c>
      <c r="D49" s="14" t="inlineStr">
        <is>
          <t>To do</t>
        </is>
      </c>
      <c r="E49" s="14" t="inlineStr">
        <is>
          <t>You</t>
        </is>
      </c>
      <c r="F49" s="14" t="inlineStr"/>
      <c r="G49" s="16" t="n"/>
      <c r="H49" s="15" t="inlineStr">
        <is>
          <t>Until then the app has no recipes to plan with; steps in docs/DESIGN.md#recipe-search</t>
        </is>
      </c>
    </row>
    <row r="50">
      <c r="A50" s="14" t="inlineStr">
        <is>
          <t>T49</t>
        </is>
      </c>
      <c r="B50" s="14" t="inlineStr">
        <is>
          <t>Recipes</t>
        </is>
      </c>
      <c r="C50" s="15" t="inlineStr">
        <is>
          <t>Add a YouTube Data API key for real recipe videos</t>
        </is>
      </c>
      <c r="D50" s="14" t="inlineStr">
        <is>
          <t>To do</t>
        </is>
      </c>
      <c r="E50" s="14" t="inlineStr">
        <is>
          <t>You</t>
        </is>
      </c>
      <c r="F50" s="14" t="inlineStr"/>
      <c r="G50" s="16" t="n"/>
      <c r="H50" s="15" t="inlineStr">
        <is>
          <t>Optional; without it the app links a YouTube search</t>
        </is>
      </c>
    </row>
    <row r="51">
      <c r="A51" s="14" t="inlineStr">
        <is>
          <t>T50</t>
        </is>
      </c>
      <c r="B51" s="14" t="inlineStr">
        <is>
          <t>Release</t>
        </is>
      </c>
      <c r="C51" s="15" t="inlineStr">
        <is>
          <t>Merge develop into main for the next release</t>
        </is>
      </c>
      <c r="D51" s="14" t="inlineStr">
        <is>
          <t>To do</t>
        </is>
      </c>
      <c r="E51" s="14" t="inlineStr">
        <is>
          <t>You</t>
        </is>
      </c>
      <c r="F51" s="14" t="inlineStr"/>
      <c r="G51" s="16" t="n"/>
      <c r="H51" s="15" t="inlineStr">
        <is>
          <t>main was last updated on 15 Oct</t>
        </is>
      </c>
    </row>
    <row r="52">
      <c r="A52" s="14" t="inlineStr">
        <is>
          <t>T51</t>
        </is>
      </c>
      <c r="B52" s="14" t="inlineStr">
        <is>
          <t>Planner</t>
        </is>
      </c>
      <c r="C52" s="15" t="inlineStr">
        <is>
          <t>Monthly planning</t>
        </is>
      </c>
      <c r="D52" s="14" t="inlineStr">
        <is>
          <t>To do</t>
        </is>
      </c>
      <c r="E52" s="14" t="inlineStr">
        <is>
          <t>Claude</t>
        </is>
      </c>
      <c r="F52" s="14" t="inlineStr"/>
      <c r="G52" s="16" t="n"/>
      <c r="H52" s="15" t="inlineStr">
        <is>
          <t>From the roadmap in docs/SUMMARY.md</t>
        </is>
      </c>
    </row>
    <row r="53">
      <c r="A53" s="14" t="inlineStr">
        <is>
          <t>T52</t>
        </is>
      </c>
      <c r="B53" s="14" t="inlineStr">
        <is>
          <t>Grocery list</t>
        </is>
      </c>
      <c r="C53" s="15" t="inlineStr">
        <is>
          <t>Per-store price comparison in the grocery list</t>
        </is>
      </c>
      <c r="D53" s="14" t="inlineStr">
        <is>
          <t>To do</t>
        </is>
      </c>
      <c r="E53" s="14" t="inlineStr">
        <is>
          <t>Claude</t>
        </is>
      </c>
      <c r="F53" s="14" t="inlineStr"/>
      <c r="G53" s="16" t="n"/>
      <c r="H53" s="15" t="inlineStr">
        <is>
          <t>From the roadmap</t>
        </is>
      </c>
    </row>
    <row r="54">
      <c r="A54" s="14" t="inlineStr">
        <is>
          <t>T53</t>
        </is>
      </c>
      <c r="B54" s="14" t="inlineStr">
        <is>
          <t>Planner</t>
        </is>
      </c>
      <c r="C54" s="15" t="inlineStr">
        <is>
          <t>Nutrition charts with Swift Charts</t>
        </is>
      </c>
      <c r="D54" s="14" t="inlineStr">
        <is>
          <t>To do</t>
        </is>
      </c>
      <c r="E54" s="14" t="inlineStr">
        <is>
          <t>Claude</t>
        </is>
      </c>
      <c r="F54" s="14" t="inlineStr"/>
      <c r="G54" s="16" t="n"/>
      <c r="H54" s="15" t="inlineStr">
        <is>
          <t>From the roadmap</t>
        </is>
      </c>
    </row>
  </sheetData>
  <autoFilter ref="A1:H54"/>
  <conditionalFormatting sqref="A2:H254">
    <cfRule type="expression" priority="1" dxfId="0">
      <formula>$D2="Done"</formula>
    </cfRule>
    <cfRule type="expression" priority="2" dxfId="1">
      <formula>$D2="In review"</formula>
    </cfRule>
    <cfRule type="expression" priority="3" dxfId="2">
      <formula>$D2="In progress"</formula>
    </cfRule>
    <cfRule type="expression" priority="4" dxfId="3">
      <formula>$D2="To do"</formula>
    </cfRule>
    <cfRule type="expression" priority="5" dxfId="4">
      <formula>$D2="Cancelled"</formula>
    </cfRule>
  </conditionalFormatting>
  <dataValidations count="1">
    <dataValidation sqref="D2:D254" showDropDown="0" showInputMessage="0" showErrorMessage="0" allowBlank="0" type="list">
      <formula1>"Done,In review,In progress,To do,Cancelled"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2026-10-22T08:47:01Z</dcterms:created>
  <dcterms:modified xsi:type="dcterms:W3CDTF">2026-10-22T08:47:01Z</dcterms:modified>
</cp:coreProperties>
</file>